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경비내역" sheetId="2" state="visible" r:id="rId2"/>
    <sheet name="부서·팀별집계" sheetId="3" state="visible" r:id="rId3"/>
    <sheet name="계정과목별집계" sheetId="4" state="visible" r:id="rId4"/>
    <sheet name="부가세정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8">
    <font>
      <name val="Calibri"/>
      <family val="2"/>
      <color theme="1"/>
      <sz val="11"/>
      <scheme val="minor"/>
    </font>
    <font>
      <name val="맑은 고딕"/>
      <b val="1"/>
      <color rgb="001C6B4B"/>
      <sz val="16"/>
    </font>
    <font>
      <name val="맑은 고딕"/>
      <color rgb="00777777"/>
      <sz val="9"/>
    </font>
    <font>
      <name val="맑은 고딕"/>
      <b val="1"/>
      <color rgb="001C6B4B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C6B4B"/>
      </patternFill>
    </fill>
    <fill>
      <patternFill patternType="solid">
        <fgColor rgb="00E6F0EA"/>
      </patternFill>
    </fill>
    <fill>
      <patternFill patternType="solid">
        <fgColor rgb="00F7EFD9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4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system</author>
  </authors>
  <commentList>
    <comment ref="L12" authorId="0" shapeId="0">
      <text>
        <t>3만원 초과 간이영수증 → 적격증빙 아님. 증빙불비가산세(2%) 대상.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78" customWidth="1" min="3" max="3"/>
  </cols>
  <sheetData>
    <row r="2">
      <c r="B2" s="1" t="inlineStr">
        <is>
          <t>경비내역 정리 양식 (세무 신고용)</t>
        </is>
      </c>
    </row>
    <row r="3">
      <c r="B3" s="2" t="inlineStr">
        <is>
          <t>회사 경비처리 웹서비스 · 월 마감 시 자동 생성되는 엑셀 산출물 샘플</t>
        </is>
      </c>
    </row>
    <row r="5">
      <c r="B5" t="inlineStr"/>
      <c r="C5" s="3" t="inlineStr"/>
    </row>
    <row r="6">
      <c r="B6" s="4" t="inlineStr">
        <is>
          <t>■ 시트 구성</t>
        </is>
      </c>
      <c r="C6" s="3" t="inlineStr"/>
    </row>
    <row r="7">
      <c r="B7" s="5" t="inlineStr">
        <is>
          <t>경비내역</t>
        </is>
      </c>
      <c r="C7" s="6" t="inlineStr">
        <is>
          <t>경비 1건 = 1행. 직원 신청·OCR로 채워지는 원장(raw data). 파란 글씨 = 입력 항목.</t>
        </is>
      </c>
    </row>
    <row r="8">
      <c r="B8" s="5" t="inlineStr">
        <is>
          <t>부서·팀별집계</t>
        </is>
      </c>
      <c r="C8" s="6" t="inlineStr">
        <is>
          <t>경비내역을 부서/팀 기준으로 SUMIFS 자동 집계. 배부 확인용.</t>
        </is>
      </c>
    </row>
    <row r="9">
      <c r="B9" s="5" t="inlineStr">
        <is>
          <t>계정과목별집계</t>
        </is>
      </c>
      <c r="C9" s="6" t="inlineStr">
        <is>
          <t>계정과목별 공급가액·부가세·합계 자동 집계. 세무대리인 전달용.</t>
        </is>
      </c>
    </row>
    <row r="10">
      <c r="B10" s="5" t="inlineStr">
        <is>
          <t>부가세정리</t>
        </is>
      </c>
      <c r="C10" s="6" t="inlineStr">
        <is>
          <t>공제/불공제 구분 집계. 부가가치세 신고 기초자료.</t>
        </is>
      </c>
    </row>
    <row r="11">
      <c r="B11" t="inlineStr"/>
      <c r="C11" s="3" t="inlineStr"/>
    </row>
    <row r="12">
      <c r="B12" s="4" t="inlineStr">
        <is>
          <t>■ 색상 범례</t>
        </is>
      </c>
      <c r="C12" s="3" t="inlineStr"/>
    </row>
    <row r="13">
      <c r="B13" s="5" t="inlineStr">
        <is>
          <t>파란 글씨</t>
        </is>
      </c>
      <c r="C13" s="6" t="inlineStr">
        <is>
          <t>직원 신청·OCR로 입력되는 값 (사용일자·거래처·금액 등)</t>
        </is>
      </c>
    </row>
    <row r="14">
      <c r="B14" s="5" t="inlineStr">
        <is>
          <t>검정 글씨</t>
        </is>
      </c>
      <c r="C14" s="6" t="inlineStr">
        <is>
          <t>시스템/수식으로 계산되는 값 (집계·검증)</t>
        </is>
      </c>
    </row>
    <row r="15">
      <c r="B15" s="5" t="inlineStr">
        <is>
          <t>노란 셀</t>
        </is>
      </c>
      <c r="C15" s="6" t="inlineStr">
        <is>
          <t>검증 경고 — 확인 필요 (3만원 초과 비적격, 금액 불일치 등)</t>
        </is>
      </c>
    </row>
    <row r="16">
      <c r="B16" t="inlineStr"/>
      <c r="C16" s="3" t="inlineStr"/>
    </row>
    <row r="17">
      <c r="B17" s="4" t="inlineStr">
        <is>
          <t>■ 자동 검증 규칙</t>
        </is>
      </c>
      <c r="C17" s="3" t="inlineStr"/>
    </row>
    <row r="18">
      <c r="B18" s="5" t="inlineStr">
        <is>
          <t>규칙 A</t>
        </is>
      </c>
      <c r="C18" s="6" t="inlineStr">
        <is>
          <t>건당 3만원 초과 + 비적격증빙(간이영수증·기타) → 증빙불비가산세 대상 경고</t>
        </is>
      </c>
    </row>
    <row r="19">
      <c r="B19" s="5" t="inlineStr">
        <is>
          <t>규칙 D</t>
        </is>
      </c>
      <c r="C19" s="6" t="inlineStr">
        <is>
          <t>공급가액 + 부가세액 = 합계금액 일치 검증</t>
        </is>
      </c>
    </row>
    <row r="20">
      <c r="B20" s="5" t="inlineStr">
        <is>
          <t>불공제 계정</t>
        </is>
      </c>
      <c r="C20" s="6" t="inlineStr">
        <is>
          <t>기업업무추진비(접대비)·비영업용 승용차·면세 매입 → 부가세 불공제 기본값</t>
        </is>
      </c>
    </row>
    <row r="21">
      <c r="B21" t="inlineStr"/>
      <c r="C21" s="3" t="inlineStr"/>
    </row>
    <row r="22">
      <c r="B22" s="5" t="inlineStr">
        <is>
          <t>증빙 보관</t>
        </is>
      </c>
      <c r="C22" s="6" t="inlineStr">
        <is>
          <t>증빙 이미지는 세법상 5년 보관 의무 (별도 ZIP으로 동봉)</t>
        </is>
      </c>
    </row>
    <row r="23">
      <c r="C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8" customWidth="1" min="5" max="5"/>
    <col width="16" customWidth="1" min="6" max="6"/>
    <col width="15" customWidth="1" min="7" max="7"/>
    <col width="11" customWidth="1" min="8" max="8"/>
    <col width="10" customWidth="1" min="9" max="9"/>
    <col width="11" customWidth="1" min="10" max="10"/>
    <col width="15" customWidth="1" min="11" max="11"/>
    <col width="12" customWidth="1" min="12" max="12"/>
    <col width="9" customWidth="1" min="13" max="13"/>
    <col width="9" customWidth="1" min="14" max="14"/>
    <col width="8" customWidth="1" min="15" max="15"/>
    <col width="26" customWidth="1" min="16" max="16"/>
    <col width="15" customWidth="1" min="17" max="17"/>
    <col width="9" customWidth="1" min="18" max="18"/>
  </cols>
  <sheetData>
    <row r="1">
      <c r="A1" s="1" t="inlineStr">
        <is>
          <t>경비내역 (귀속월: 2026-07)</t>
        </is>
      </c>
    </row>
    <row r="2">
      <c r="A2" s="2" t="inlineStr">
        <is>
          <t>파란 글씨 = 신청/OCR 입력 · 검정 = 자동계산 · 노란 셀 = 확인 필요</t>
        </is>
      </c>
    </row>
    <row r="4">
      <c r="A4" s="7" t="inlineStr">
        <is>
          <t>번호</t>
        </is>
      </c>
      <c r="B4" s="7" t="inlineStr">
        <is>
          <t>사용일자</t>
        </is>
      </c>
      <c r="C4" s="7" t="inlineStr">
        <is>
          <t>부서</t>
        </is>
      </c>
      <c r="D4" s="7" t="inlineStr">
        <is>
          <t>팀</t>
        </is>
      </c>
      <c r="E4" s="7" t="inlineStr">
        <is>
          <t>사용자</t>
        </is>
      </c>
      <c r="F4" s="7" t="inlineStr">
        <is>
          <t>거래처명</t>
        </is>
      </c>
      <c r="G4" s="7" t="inlineStr">
        <is>
          <t>사업자등록번호</t>
        </is>
      </c>
      <c r="H4" s="7" t="inlineStr">
        <is>
          <t>공급가액</t>
        </is>
      </c>
      <c r="I4" s="7" t="inlineStr">
        <is>
          <t>부가세액</t>
        </is>
      </c>
      <c r="J4" s="7" t="inlineStr">
        <is>
          <t>합계금액</t>
        </is>
      </c>
      <c r="K4" s="7" t="inlineStr">
        <is>
          <t>계정과목</t>
        </is>
      </c>
      <c r="L4" s="7" t="inlineStr">
        <is>
          <t>증빙유형</t>
        </is>
      </c>
      <c r="M4" s="7" t="inlineStr">
        <is>
          <t>부가세공제</t>
        </is>
      </c>
      <c r="N4" s="7" t="inlineStr">
        <is>
          <t>결제수단</t>
        </is>
      </c>
      <c r="O4" s="7" t="inlineStr">
        <is>
          <t>PJT코드</t>
        </is>
      </c>
      <c r="P4" s="7" t="inlineStr">
        <is>
          <t>적요</t>
        </is>
      </c>
      <c r="Q4" s="7" t="inlineStr">
        <is>
          <t>증빙검증</t>
        </is>
      </c>
      <c r="R4" s="7" t="inlineStr">
        <is>
          <t>금액검증</t>
        </is>
      </c>
    </row>
    <row r="5">
      <c r="A5" s="8" t="n">
        <v>1</v>
      </c>
      <c r="B5" s="9" t="inlineStr">
        <is>
          <t>2026-07-02</t>
        </is>
      </c>
      <c r="C5" s="10" t="inlineStr">
        <is>
          <t>경영지원실</t>
        </is>
      </c>
      <c r="D5" s="10" t="inlineStr">
        <is>
          <t>총무팀</t>
        </is>
      </c>
      <c r="E5" s="10" t="inlineStr">
        <is>
          <t>김민수</t>
        </is>
      </c>
      <c r="F5" s="11" t="inlineStr">
        <is>
          <t>스타벅스코리아</t>
        </is>
      </c>
      <c r="G5" s="9" t="inlineStr">
        <is>
          <t>123-45-67890</t>
        </is>
      </c>
      <c r="H5" s="12" t="n">
        <v>4545</v>
      </c>
      <c r="I5" s="12" t="n">
        <v>455</v>
      </c>
      <c r="J5" s="12" t="n">
        <v>5000</v>
      </c>
      <c r="K5" s="10" t="inlineStr">
        <is>
          <t>복리후생비</t>
        </is>
      </c>
      <c r="L5" s="10" t="inlineStr">
        <is>
          <t>신용카드</t>
        </is>
      </c>
      <c r="M5" s="8" t="inlineStr">
        <is>
          <t>공제</t>
        </is>
      </c>
      <c r="N5" s="8" t="inlineStr">
        <is>
          <t>법인카드</t>
        </is>
      </c>
      <c r="O5" s="8" t="inlineStr"/>
      <c r="P5" s="11" t="inlineStr">
        <is>
          <t>팀 회의 음료</t>
        </is>
      </c>
      <c r="Q5" s="10">
        <f>IF(AND(J5&gt;30000,OR(L5="간이영수증",L5="기타")),"⚠ 3만원초과 비적격","")</f>
        <v/>
      </c>
      <c r="R5" s="8">
        <f>IF(J5-(H5+I5)=0,"OK","불일치")</f>
        <v/>
      </c>
    </row>
    <row r="6">
      <c r="A6" s="8" t="n">
        <v>2</v>
      </c>
      <c r="B6" s="9" t="inlineStr">
        <is>
          <t>2026-07-03</t>
        </is>
      </c>
      <c r="C6" s="10" t="inlineStr">
        <is>
          <t>영업본부</t>
        </is>
      </c>
      <c r="D6" s="10" t="inlineStr">
        <is>
          <t>영업1팀</t>
        </is>
      </c>
      <c r="E6" s="10" t="inlineStr">
        <is>
          <t>이지은</t>
        </is>
      </c>
      <c r="F6" s="11" t="inlineStr">
        <is>
          <t>현대오일뱅크</t>
        </is>
      </c>
      <c r="G6" s="9" t="inlineStr">
        <is>
          <t>220-81-12345</t>
        </is>
      </c>
      <c r="H6" s="12" t="n">
        <v>45455</v>
      </c>
      <c r="I6" s="12" t="n">
        <v>4545</v>
      </c>
      <c r="J6" s="12" t="n">
        <v>50000</v>
      </c>
      <c r="K6" s="10" t="inlineStr">
        <is>
          <t>차량유지비</t>
        </is>
      </c>
      <c r="L6" s="10" t="inlineStr">
        <is>
          <t>세금계산서</t>
        </is>
      </c>
      <c r="M6" s="8" t="inlineStr">
        <is>
          <t>불공제</t>
        </is>
      </c>
      <c r="N6" s="8" t="inlineStr">
        <is>
          <t>법인카드</t>
        </is>
      </c>
      <c r="O6" s="8" t="inlineStr"/>
      <c r="P6" s="11" t="inlineStr">
        <is>
          <t>비영업용 승용차 주유</t>
        </is>
      </c>
      <c r="Q6" s="10">
        <f>IF(AND(J6&gt;30000,OR(L6="간이영수증",L6="기타")),"⚠ 3만원초과 비적격","")</f>
        <v/>
      </c>
      <c r="R6" s="8">
        <f>IF(J6-(H6+I6)=0,"OK","불일치")</f>
        <v/>
      </c>
    </row>
    <row r="7">
      <c r="A7" s="8" t="n">
        <v>3</v>
      </c>
      <c r="B7" s="9" t="inlineStr">
        <is>
          <t>2026-07-05</t>
        </is>
      </c>
      <c r="C7" s="10" t="inlineStr">
        <is>
          <t>영업본부</t>
        </is>
      </c>
      <c r="D7" s="10" t="inlineStr">
        <is>
          <t>영업1팀</t>
        </is>
      </c>
      <c r="E7" s="10" t="inlineStr">
        <is>
          <t>이지은</t>
        </is>
      </c>
      <c r="F7" s="11" t="inlineStr">
        <is>
          <t>한우마을</t>
        </is>
      </c>
      <c r="G7" s="9" t="inlineStr">
        <is>
          <t>111-22-33333</t>
        </is>
      </c>
      <c r="H7" s="12" t="n">
        <v>90909</v>
      </c>
      <c r="I7" s="12" t="n">
        <v>9091</v>
      </c>
      <c r="J7" s="12" t="n">
        <v>100000</v>
      </c>
      <c r="K7" s="10" t="inlineStr">
        <is>
          <t>기업업무추진비</t>
        </is>
      </c>
      <c r="L7" s="10" t="inlineStr">
        <is>
          <t>신용카드</t>
        </is>
      </c>
      <c r="M7" s="8" t="inlineStr">
        <is>
          <t>불공제</t>
        </is>
      </c>
      <c r="N7" s="8" t="inlineStr">
        <is>
          <t>법인카드</t>
        </is>
      </c>
      <c r="O7" s="8" t="inlineStr"/>
      <c r="P7" s="11" t="inlineStr">
        <is>
          <t>거래처 접대 (접대비)</t>
        </is>
      </c>
      <c r="Q7" s="10">
        <f>IF(AND(J7&gt;30000,OR(L7="간이영수증",L7="기타")),"⚠ 3만원초과 비적격","")</f>
        <v/>
      </c>
      <c r="R7" s="8">
        <f>IF(J7-(H7+I7)=0,"OK","불일치")</f>
        <v/>
      </c>
    </row>
    <row r="8">
      <c r="A8" s="8" t="n">
        <v>4</v>
      </c>
      <c r="B8" s="9" t="inlineStr">
        <is>
          <t>2026-07-07</t>
        </is>
      </c>
      <c r="C8" s="10" t="inlineStr">
        <is>
          <t>개발본부</t>
        </is>
      </c>
      <c r="D8" s="10" t="inlineStr">
        <is>
          <t>플랫폼팀</t>
        </is>
      </c>
      <c r="E8" s="10" t="inlineStr">
        <is>
          <t>박서준</t>
        </is>
      </c>
      <c r="F8" s="11" t="inlineStr">
        <is>
          <t>쿠팡</t>
        </is>
      </c>
      <c r="G8" s="9" t="inlineStr">
        <is>
          <t>120-88-00767</t>
        </is>
      </c>
      <c r="H8" s="12" t="n">
        <v>27273</v>
      </c>
      <c r="I8" s="12" t="n">
        <v>2727</v>
      </c>
      <c r="J8" s="12" t="n">
        <v>30000</v>
      </c>
      <c r="K8" s="10" t="inlineStr">
        <is>
          <t>소모품비</t>
        </is>
      </c>
      <c r="L8" s="10" t="inlineStr">
        <is>
          <t>세금계산서</t>
        </is>
      </c>
      <c r="M8" s="8" t="inlineStr">
        <is>
          <t>공제</t>
        </is>
      </c>
      <c r="N8" s="8" t="inlineStr">
        <is>
          <t>법인카드</t>
        </is>
      </c>
      <c r="O8" s="8" t="inlineStr">
        <is>
          <t>PJT-24</t>
        </is>
      </c>
      <c r="P8" s="11" t="inlineStr">
        <is>
          <t>개발용 키보드/마우스</t>
        </is>
      </c>
      <c r="Q8" s="10">
        <f>IF(AND(J8&gt;30000,OR(L8="간이영수증",L8="기타")),"⚠ 3만원초과 비적격","")</f>
        <v/>
      </c>
      <c r="R8" s="8">
        <f>IF(J8-(H8+I8)=0,"OK","불일치")</f>
        <v/>
      </c>
    </row>
    <row r="9">
      <c r="A9" s="8" t="n">
        <v>5</v>
      </c>
      <c r="B9" s="9" t="inlineStr">
        <is>
          <t>2026-07-08</t>
        </is>
      </c>
      <c r="C9" s="10" t="inlineStr">
        <is>
          <t>개발본부</t>
        </is>
      </c>
      <c r="D9" s="10" t="inlineStr">
        <is>
          <t>플랫폼팀</t>
        </is>
      </c>
      <c r="E9" s="10" t="inlineStr">
        <is>
          <t>박서준</t>
        </is>
      </c>
      <c r="F9" s="11" t="inlineStr">
        <is>
          <t>김밥천국</t>
        </is>
      </c>
      <c r="G9" s="9" t="inlineStr"/>
      <c r="H9" s="12" t="n">
        <v>8000</v>
      </c>
      <c r="I9" s="12" t="n">
        <v>0</v>
      </c>
      <c r="J9" s="12" t="n">
        <v>8000</v>
      </c>
      <c r="K9" s="10" t="inlineStr">
        <is>
          <t>복리후생비</t>
        </is>
      </c>
      <c r="L9" s="10" t="inlineStr">
        <is>
          <t>간이영수증</t>
        </is>
      </c>
      <c r="M9" s="8" t="inlineStr">
        <is>
          <t>불공제</t>
        </is>
      </c>
      <c r="N9" s="8" t="inlineStr">
        <is>
          <t>개인카드</t>
        </is>
      </c>
      <c r="O9" s="8" t="inlineStr"/>
      <c r="P9" s="11" t="inlineStr">
        <is>
          <t>야근 식대 (3만원 이하)</t>
        </is>
      </c>
      <c r="Q9" s="10">
        <f>IF(AND(J9&gt;30000,OR(L9="간이영수증",L9="기타")),"⚠ 3만원초과 비적격","")</f>
        <v/>
      </c>
      <c r="R9" s="8">
        <f>IF(J9-(H9+I9)=0,"OK","불일치")</f>
        <v/>
      </c>
    </row>
    <row r="10">
      <c r="A10" s="8" t="n">
        <v>6</v>
      </c>
      <c r="B10" s="9" t="inlineStr">
        <is>
          <t>2026-07-10</t>
        </is>
      </c>
      <c r="C10" s="10" t="inlineStr">
        <is>
          <t>경영지원실</t>
        </is>
      </c>
      <c r="D10" s="10" t="inlineStr">
        <is>
          <t>총무팀</t>
        </is>
      </c>
      <c r="E10" s="10" t="inlineStr">
        <is>
          <t>김민수</t>
        </is>
      </c>
      <c r="F10" s="11" t="inlineStr">
        <is>
          <t>케이티</t>
        </is>
      </c>
      <c r="G10" s="9" t="inlineStr">
        <is>
          <t>214-81-00000</t>
        </is>
      </c>
      <c r="H10" s="12" t="n">
        <v>33636</v>
      </c>
      <c r="I10" s="12" t="n">
        <v>3364</v>
      </c>
      <c r="J10" s="12" t="n">
        <v>37000</v>
      </c>
      <c r="K10" s="10" t="inlineStr">
        <is>
          <t>통신비</t>
        </is>
      </c>
      <c r="L10" s="10" t="inlineStr">
        <is>
          <t>세금계산서</t>
        </is>
      </c>
      <c r="M10" s="8" t="inlineStr">
        <is>
          <t>공제</t>
        </is>
      </c>
      <c r="N10" s="8" t="inlineStr">
        <is>
          <t>법인카드</t>
        </is>
      </c>
      <c r="O10" s="8" t="inlineStr"/>
      <c r="P10" s="11" t="inlineStr">
        <is>
          <t>사무실 인터넷 요금</t>
        </is>
      </c>
      <c r="Q10" s="10">
        <f>IF(AND(J10&gt;30000,OR(L10="간이영수증",L10="기타")),"⚠ 3만원초과 비적격","")</f>
        <v/>
      </c>
      <c r="R10" s="8">
        <f>IF(J10-(H10+I10)=0,"OK","불일치")</f>
        <v/>
      </c>
    </row>
    <row r="11">
      <c r="A11" s="8" t="n">
        <v>7</v>
      </c>
      <c r="B11" s="9" t="inlineStr">
        <is>
          <t>2026-07-11</t>
        </is>
      </c>
      <c r="C11" s="10" t="inlineStr">
        <is>
          <t>영업본부</t>
        </is>
      </c>
      <c r="D11" s="10" t="inlineStr">
        <is>
          <t>영업2팀</t>
        </is>
      </c>
      <c r="E11" s="10" t="inlineStr">
        <is>
          <t>최유리</t>
        </is>
      </c>
      <c r="F11" s="11" t="inlineStr">
        <is>
          <t>카카오모빌리티</t>
        </is>
      </c>
      <c r="G11" s="9" t="inlineStr">
        <is>
          <t>123-88-77665</t>
        </is>
      </c>
      <c r="H11" s="12" t="n">
        <v>13636</v>
      </c>
      <c r="I11" s="12" t="n">
        <v>1364</v>
      </c>
      <c r="J11" s="12" t="n">
        <v>15000</v>
      </c>
      <c r="K11" s="10" t="inlineStr">
        <is>
          <t>여비교통비</t>
        </is>
      </c>
      <c r="L11" s="10" t="inlineStr">
        <is>
          <t>신용카드</t>
        </is>
      </c>
      <c r="M11" s="8" t="inlineStr">
        <is>
          <t>공제</t>
        </is>
      </c>
      <c r="N11" s="8" t="inlineStr">
        <is>
          <t>법인카드</t>
        </is>
      </c>
      <c r="O11" s="8" t="inlineStr"/>
      <c r="P11" s="11" t="inlineStr">
        <is>
          <t>고객사 방문 택시</t>
        </is>
      </c>
      <c r="Q11" s="10">
        <f>IF(AND(J11&gt;30000,OR(L11="간이영수증",L11="기타")),"⚠ 3만원초과 비적격","")</f>
        <v/>
      </c>
      <c r="R11" s="8">
        <f>IF(J11-(H11+I11)=0,"OK","불일치")</f>
        <v/>
      </c>
    </row>
    <row r="12">
      <c r="A12" s="8" t="n">
        <v>8</v>
      </c>
      <c r="B12" s="9" t="inlineStr">
        <is>
          <t>2026-07-12</t>
        </is>
      </c>
      <c r="C12" s="10" t="inlineStr">
        <is>
          <t>개발본부</t>
        </is>
      </c>
      <c r="D12" s="10" t="inlineStr">
        <is>
          <t>데이터팀</t>
        </is>
      </c>
      <c r="E12" s="10" t="inlineStr">
        <is>
          <t>정해인</t>
        </is>
      </c>
      <c r="F12" s="11" t="inlineStr">
        <is>
          <t>문구나라</t>
        </is>
      </c>
      <c r="G12" s="9" t="inlineStr">
        <is>
          <t>401-22-11223</t>
        </is>
      </c>
      <c r="H12" s="12" t="n">
        <v>40000</v>
      </c>
      <c r="I12" s="12" t="n">
        <v>0</v>
      </c>
      <c r="J12" s="12" t="n">
        <v>40000</v>
      </c>
      <c r="K12" s="10" t="inlineStr">
        <is>
          <t>소모품비</t>
        </is>
      </c>
      <c r="L12" s="10" t="inlineStr">
        <is>
          <t>간이영수증</t>
        </is>
      </c>
      <c r="M12" s="8" t="inlineStr">
        <is>
          <t>불공제</t>
        </is>
      </c>
      <c r="N12" s="8" t="inlineStr">
        <is>
          <t>개인카드</t>
        </is>
      </c>
      <c r="O12" s="8" t="inlineStr"/>
      <c r="P12" s="11" t="inlineStr">
        <is>
          <t>사무용품 (3만원 초과·간이)</t>
        </is>
      </c>
      <c r="Q12" s="13">
        <f>IF(AND(J12&gt;30000,OR(L12="간이영수증",L12="기타")),"⚠ 3만원초과 비적격","")</f>
        <v/>
      </c>
      <c r="R12" s="8">
        <f>IF(J12-(H12+I12)=0,"OK","불일치")</f>
        <v/>
      </c>
    </row>
    <row r="13">
      <c r="A13" s="14" t="inlineStr">
        <is>
          <t>합계</t>
        </is>
      </c>
      <c r="B13" s="15" t="n"/>
      <c r="C13" s="15" t="n"/>
      <c r="D13" s="15" t="n"/>
      <c r="E13" s="15" t="n"/>
      <c r="F13" s="15" t="n"/>
      <c r="G13" s="15" t="n"/>
      <c r="H13" s="16">
        <f>SUM(H5:H12)</f>
        <v/>
      </c>
      <c r="I13" s="16">
        <f>SUM(I5:I12)</f>
        <v/>
      </c>
      <c r="J13" s="16">
        <f>SUM(J5:J12)</f>
        <v/>
      </c>
      <c r="K13" s="15" t="n"/>
      <c r="L13" s="15" t="n"/>
      <c r="M13" s="15" t="n"/>
      <c r="N13" s="15" t="n"/>
      <c r="O13" s="15" t="n"/>
      <c r="P13" s="15" t="n"/>
      <c r="Q13" s="15" t="n"/>
      <c r="R13" s="15" t="n"/>
    </row>
  </sheetData>
  <mergeCells count="3">
    <mergeCell ref="A13:G13"/>
    <mergeCell ref="A2:R2"/>
    <mergeCell ref="A1:R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3" customWidth="1" min="4" max="4"/>
    <col width="12" customWidth="1" min="5" max="5"/>
    <col width="13" customWidth="1" min="6" max="6"/>
    <col width="14" customWidth="1" min="7" max="7"/>
  </cols>
  <sheetData>
    <row r="1">
      <c r="A1" s="1" t="inlineStr">
        <is>
          <t>부서·팀별 집계</t>
        </is>
      </c>
    </row>
    <row r="2">
      <c r="A2" s="2" t="inlineStr">
        <is>
          <t>경비내역 시트를 부서/팀 기준으로 자동 집계 (SUMIFS)</t>
        </is>
      </c>
    </row>
    <row r="4">
      <c r="A4" s="7" t="inlineStr">
        <is>
          <t>부서</t>
        </is>
      </c>
      <c r="B4" s="7" t="inlineStr">
        <is>
          <t>팀</t>
        </is>
      </c>
      <c r="C4" s="7" t="inlineStr">
        <is>
          <t>건수</t>
        </is>
      </c>
      <c r="D4" s="7" t="inlineStr">
        <is>
          <t>공급가액</t>
        </is>
      </c>
      <c r="E4" s="7" t="inlineStr">
        <is>
          <t>부가세액</t>
        </is>
      </c>
      <c r="F4" s="7" t="inlineStr">
        <is>
          <t>합계금액</t>
        </is>
      </c>
      <c r="G4" s="7" t="inlineStr">
        <is>
          <t>공제대상세액</t>
        </is>
      </c>
    </row>
    <row r="5">
      <c r="A5" s="10" t="inlineStr">
        <is>
          <t>경영지원실</t>
        </is>
      </c>
      <c r="B5" s="10" t="inlineStr">
        <is>
          <t>총무팀</t>
        </is>
      </c>
      <c r="C5" s="8">
        <f>COUNTIFS(경비내역!$C$5:$C$12,A5,경비내역!$D$5:$D$12,B5)</f>
        <v/>
      </c>
      <c r="D5" s="17">
        <f>SUMIFS(경비내역!$H$5:$H$12,경비내역!$C$5:$C$12,A5,경비내역!$D$5:$D$12,B5)</f>
        <v/>
      </c>
      <c r="E5" s="17">
        <f>SUMIFS(경비내역!$I$5:$I$12,경비내역!$C$5:$C$12,A5,경비내역!$D$5:$D$12,B5)</f>
        <v/>
      </c>
      <c r="F5" s="17">
        <f>SUMIFS(경비내역!$J$5:$J$12,경비내역!$C$5:$C$12,A5,경비내역!$D$5:$D$12,B5)</f>
        <v/>
      </c>
      <c r="G5" s="17">
        <f>SUMIFS(경비내역!$I$5:$I$12,경비내역!$C$5:$C$12,A5,경비내역!$D$5:$D$12,B5,경비내역!$M$5:$M$12,"공제")</f>
        <v/>
      </c>
    </row>
    <row r="6">
      <c r="A6" s="10" t="inlineStr">
        <is>
          <t>영업본부</t>
        </is>
      </c>
      <c r="B6" s="10" t="inlineStr">
        <is>
          <t>영업1팀</t>
        </is>
      </c>
      <c r="C6" s="8">
        <f>COUNTIFS(경비내역!$C$5:$C$12,A6,경비내역!$D$5:$D$12,B6)</f>
        <v/>
      </c>
      <c r="D6" s="17">
        <f>SUMIFS(경비내역!$H$5:$H$12,경비내역!$C$5:$C$12,A6,경비내역!$D$5:$D$12,B6)</f>
        <v/>
      </c>
      <c r="E6" s="17">
        <f>SUMIFS(경비내역!$I$5:$I$12,경비내역!$C$5:$C$12,A6,경비내역!$D$5:$D$12,B6)</f>
        <v/>
      </c>
      <c r="F6" s="17">
        <f>SUMIFS(경비내역!$J$5:$J$12,경비내역!$C$5:$C$12,A6,경비내역!$D$5:$D$12,B6)</f>
        <v/>
      </c>
      <c r="G6" s="17">
        <f>SUMIFS(경비내역!$I$5:$I$12,경비내역!$C$5:$C$12,A6,경비내역!$D$5:$D$12,B6,경비내역!$M$5:$M$12,"공제")</f>
        <v/>
      </c>
    </row>
    <row r="7">
      <c r="A7" s="10" t="inlineStr">
        <is>
          <t>영업본부</t>
        </is>
      </c>
      <c r="B7" s="10" t="inlineStr">
        <is>
          <t>영업2팀</t>
        </is>
      </c>
      <c r="C7" s="8">
        <f>COUNTIFS(경비내역!$C$5:$C$12,A7,경비내역!$D$5:$D$12,B7)</f>
        <v/>
      </c>
      <c r="D7" s="17">
        <f>SUMIFS(경비내역!$H$5:$H$12,경비내역!$C$5:$C$12,A7,경비내역!$D$5:$D$12,B7)</f>
        <v/>
      </c>
      <c r="E7" s="17">
        <f>SUMIFS(경비내역!$I$5:$I$12,경비내역!$C$5:$C$12,A7,경비내역!$D$5:$D$12,B7)</f>
        <v/>
      </c>
      <c r="F7" s="17">
        <f>SUMIFS(경비내역!$J$5:$J$12,경비내역!$C$5:$C$12,A7,경비내역!$D$5:$D$12,B7)</f>
        <v/>
      </c>
      <c r="G7" s="17">
        <f>SUMIFS(경비내역!$I$5:$I$12,경비내역!$C$5:$C$12,A7,경비내역!$D$5:$D$12,B7,경비내역!$M$5:$M$12,"공제")</f>
        <v/>
      </c>
    </row>
    <row r="8">
      <c r="A8" s="10" t="inlineStr">
        <is>
          <t>개발본부</t>
        </is>
      </c>
      <c r="B8" s="10" t="inlineStr">
        <is>
          <t>플랫폼팀</t>
        </is>
      </c>
      <c r="C8" s="8">
        <f>COUNTIFS(경비내역!$C$5:$C$12,A8,경비내역!$D$5:$D$12,B8)</f>
        <v/>
      </c>
      <c r="D8" s="17">
        <f>SUMIFS(경비내역!$H$5:$H$12,경비내역!$C$5:$C$12,A8,경비내역!$D$5:$D$12,B8)</f>
        <v/>
      </c>
      <c r="E8" s="17">
        <f>SUMIFS(경비내역!$I$5:$I$12,경비내역!$C$5:$C$12,A8,경비내역!$D$5:$D$12,B8)</f>
        <v/>
      </c>
      <c r="F8" s="17">
        <f>SUMIFS(경비내역!$J$5:$J$12,경비내역!$C$5:$C$12,A8,경비내역!$D$5:$D$12,B8)</f>
        <v/>
      </c>
      <c r="G8" s="17">
        <f>SUMIFS(경비내역!$I$5:$I$12,경비내역!$C$5:$C$12,A8,경비내역!$D$5:$D$12,B8,경비내역!$M$5:$M$12,"공제")</f>
        <v/>
      </c>
    </row>
    <row r="9">
      <c r="A9" s="10" t="inlineStr">
        <is>
          <t>개발본부</t>
        </is>
      </c>
      <c r="B9" s="10" t="inlineStr">
        <is>
          <t>데이터팀</t>
        </is>
      </c>
      <c r="C9" s="8">
        <f>COUNTIFS(경비내역!$C$5:$C$12,A9,경비내역!$D$5:$D$12,B9)</f>
        <v/>
      </c>
      <c r="D9" s="17">
        <f>SUMIFS(경비내역!$H$5:$H$12,경비내역!$C$5:$C$12,A9,경비내역!$D$5:$D$12,B9)</f>
        <v/>
      </c>
      <c r="E9" s="17">
        <f>SUMIFS(경비내역!$I$5:$I$12,경비내역!$C$5:$C$12,A9,경비내역!$D$5:$D$12,B9)</f>
        <v/>
      </c>
      <c r="F9" s="17">
        <f>SUMIFS(경비내역!$J$5:$J$12,경비내역!$C$5:$C$12,A9,경비내역!$D$5:$D$12,B9)</f>
        <v/>
      </c>
      <c r="G9" s="17">
        <f>SUMIFS(경비내역!$I$5:$I$12,경비내역!$C$5:$C$12,A9,경비내역!$D$5:$D$12,B9,경비내역!$M$5:$M$12,"공제")</f>
        <v/>
      </c>
    </row>
    <row r="10">
      <c r="A10" s="14" t="inlineStr">
        <is>
          <t>합계</t>
        </is>
      </c>
      <c r="B10" s="15" t="n"/>
      <c r="C10" s="14">
        <f>SUM(C5:C9)</f>
        <v/>
      </c>
      <c r="D10" s="16">
        <f>SUM(D5:D9)</f>
        <v/>
      </c>
      <c r="E10" s="16">
        <f>SUM(E5:E9)</f>
        <v/>
      </c>
      <c r="F10" s="16">
        <f>SUM(F5:F9)</f>
        <v/>
      </c>
      <c r="G10" s="16">
        <f>SUM(G5:G9)</f>
        <v/>
      </c>
    </row>
  </sheetData>
  <mergeCells count="3">
    <mergeCell ref="A2:G2"/>
    <mergeCell ref="A1:G1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계정과목별 집계</t>
        </is>
      </c>
    </row>
    <row r="2">
      <c r="A2" s="2" t="inlineStr">
        <is>
          <t>세무대리인 전달용 · 계정과목별 SUMIFS 자동 집계</t>
        </is>
      </c>
    </row>
    <row r="4">
      <c r="A4" s="7" t="inlineStr">
        <is>
          <t>계정과목</t>
        </is>
      </c>
      <c r="B4" s="7" t="inlineStr">
        <is>
          <t>건수</t>
        </is>
      </c>
      <c r="C4" s="7" t="inlineStr">
        <is>
          <t>공급가액</t>
        </is>
      </c>
      <c r="D4" s="7" t="inlineStr">
        <is>
          <t>부가세액</t>
        </is>
      </c>
      <c r="E4" s="7" t="inlineStr">
        <is>
          <t>합계금액</t>
        </is>
      </c>
      <c r="F4" s="7" t="inlineStr">
        <is>
          <t>공제대상세액</t>
        </is>
      </c>
    </row>
    <row r="5">
      <c r="A5" s="10" t="inlineStr">
        <is>
          <t>복리후생비</t>
        </is>
      </c>
      <c r="B5" s="8">
        <f>COUNTIFS(경비내역!$K$5:$K$12,A5)</f>
        <v/>
      </c>
      <c r="C5" s="17">
        <f>SUMIFS(경비내역!$H$5:$H$12,경비내역!$K$5:$K$12,A5)</f>
        <v/>
      </c>
      <c r="D5" s="17">
        <f>SUMIFS(경비내역!$I$5:$I$12,경비내역!$K$5:$K$12,A5)</f>
        <v/>
      </c>
      <c r="E5" s="17">
        <f>SUMIFS(경비내역!$J$5:$J$12,경비내역!$K$5:$K$12,A5)</f>
        <v/>
      </c>
      <c r="F5" s="17">
        <f>SUMIFS(경비내역!$I$5:$I$12,경비내역!$K$5:$K$12,A5,경비내역!$M$5:$M$12,"공제")</f>
        <v/>
      </c>
    </row>
    <row r="6">
      <c r="A6" s="10" t="inlineStr">
        <is>
          <t>여비교통비</t>
        </is>
      </c>
      <c r="B6" s="8">
        <f>COUNTIFS(경비내역!$K$5:$K$12,A6)</f>
        <v/>
      </c>
      <c r="C6" s="17">
        <f>SUMIFS(경비내역!$H$5:$H$12,경비내역!$K$5:$K$12,A6)</f>
        <v/>
      </c>
      <c r="D6" s="17">
        <f>SUMIFS(경비내역!$I$5:$I$12,경비내역!$K$5:$K$12,A6)</f>
        <v/>
      </c>
      <c r="E6" s="17">
        <f>SUMIFS(경비내역!$J$5:$J$12,경비내역!$K$5:$K$12,A6)</f>
        <v/>
      </c>
      <c r="F6" s="17">
        <f>SUMIFS(경비내역!$I$5:$I$12,경비내역!$K$5:$K$12,A6,경비내역!$M$5:$M$12,"공제")</f>
        <v/>
      </c>
    </row>
    <row r="7">
      <c r="A7" s="10" t="inlineStr">
        <is>
          <t>기업업무추진비</t>
        </is>
      </c>
      <c r="B7" s="8">
        <f>COUNTIFS(경비내역!$K$5:$K$12,A7)</f>
        <v/>
      </c>
      <c r="C7" s="17">
        <f>SUMIFS(경비내역!$H$5:$H$12,경비내역!$K$5:$K$12,A7)</f>
        <v/>
      </c>
      <c r="D7" s="17">
        <f>SUMIFS(경비내역!$I$5:$I$12,경비내역!$K$5:$K$12,A7)</f>
        <v/>
      </c>
      <c r="E7" s="17">
        <f>SUMIFS(경비내역!$J$5:$J$12,경비내역!$K$5:$K$12,A7)</f>
        <v/>
      </c>
      <c r="F7" s="17">
        <f>SUMIFS(경비내역!$I$5:$I$12,경비내역!$K$5:$K$12,A7,경비내역!$M$5:$M$12,"공제")</f>
        <v/>
      </c>
    </row>
    <row r="8">
      <c r="A8" s="10" t="inlineStr">
        <is>
          <t>소모품비</t>
        </is>
      </c>
      <c r="B8" s="8">
        <f>COUNTIFS(경비내역!$K$5:$K$12,A8)</f>
        <v/>
      </c>
      <c r="C8" s="17">
        <f>SUMIFS(경비내역!$H$5:$H$12,경비내역!$K$5:$K$12,A8)</f>
        <v/>
      </c>
      <c r="D8" s="17">
        <f>SUMIFS(경비내역!$I$5:$I$12,경비내역!$K$5:$K$12,A8)</f>
        <v/>
      </c>
      <c r="E8" s="17">
        <f>SUMIFS(경비내역!$J$5:$J$12,경비내역!$K$5:$K$12,A8)</f>
        <v/>
      </c>
      <c r="F8" s="17">
        <f>SUMIFS(경비내역!$I$5:$I$12,경비내역!$K$5:$K$12,A8,경비내역!$M$5:$M$12,"공제")</f>
        <v/>
      </c>
    </row>
    <row r="9">
      <c r="A9" s="10" t="inlineStr">
        <is>
          <t>통신비</t>
        </is>
      </c>
      <c r="B9" s="8">
        <f>COUNTIFS(경비내역!$K$5:$K$12,A9)</f>
        <v/>
      </c>
      <c r="C9" s="17">
        <f>SUMIFS(경비내역!$H$5:$H$12,경비내역!$K$5:$K$12,A9)</f>
        <v/>
      </c>
      <c r="D9" s="17">
        <f>SUMIFS(경비내역!$I$5:$I$12,경비내역!$K$5:$K$12,A9)</f>
        <v/>
      </c>
      <c r="E9" s="17">
        <f>SUMIFS(경비내역!$J$5:$J$12,경비내역!$K$5:$K$12,A9)</f>
        <v/>
      </c>
      <c r="F9" s="17">
        <f>SUMIFS(경비내역!$I$5:$I$12,경비내역!$K$5:$K$12,A9,경비내역!$M$5:$M$12,"공제")</f>
        <v/>
      </c>
    </row>
    <row r="10">
      <c r="A10" s="10" t="inlineStr">
        <is>
          <t>차량유지비</t>
        </is>
      </c>
      <c r="B10" s="8">
        <f>COUNTIFS(경비내역!$K$5:$K$12,A10)</f>
        <v/>
      </c>
      <c r="C10" s="17">
        <f>SUMIFS(경비내역!$H$5:$H$12,경비내역!$K$5:$K$12,A10)</f>
        <v/>
      </c>
      <c r="D10" s="17">
        <f>SUMIFS(경비내역!$I$5:$I$12,경비내역!$K$5:$K$12,A10)</f>
        <v/>
      </c>
      <c r="E10" s="17">
        <f>SUMIFS(경비내역!$J$5:$J$12,경비내역!$K$5:$K$12,A10)</f>
        <v/>
      </c>
      <c r="F10" s="17">
        <f>SUMIFS(경비내역!$I$5:$I$12,경비내역!$K$5:$K$12,A10,경비내역!$M$5:$M$12,"공제")</f>
        <v/>
      </c>
    </row>
    <row r="11">
      <c r="A11" s="14" t="inlineStr">
        <is>
          <t>합계</t>
        </is>
      </c>
      <c r="B11" s="14">
        <f>SUM(B5:B10)</f>
        <v/>
      </c>
      <c r="C11" s="16">
        <f>SUM(C5:C10)</f>
        <v/>
      </c>
      <c r="D11" s="16">
        <f>SUM(D5:D10)</f>
        <v/>
      </c>
      <c r="E11" s="16">
        <f>SUM(E5:E10)</f>
        <v/>
      </c>
      <c r="F11" s="16">
        <f>SUM(F5:F10)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</cols>
  <sheetData>
    <row r="1">
      <c r="A1" s="1" t="inlineStr">
        <is>
          <t>부가세 정리 (공제 / 불공제)</t>
        </is>
      </c>
    </row>
    <row r="2">
      <c r="A2" s="2" t="inlineStr">
        <is>
          <t>부가가치세 신고 기초자료 · 매입세액 공제여부 구분 집계</t>
        </is>
      </c>
    </row>
    <row r="4">
      <c r="A4" s="7" t="inlineStr">
        <is>
          <t>구분</t>
        </is>
      </c>
      <c r="B4" s="7" t="inlineStr">
        <is>
          <t>건수</t>
        </is>
      </c>
      <c r="C4" s="7" t="inlineStr">
        <is>
          <t>공급가액</t>
        </is>
      </c>
      <c r="D4" s="7" t="inlineStr">
        <is>
          <t>부가세액</t>
        </is>
      </c>
      <c r="E4" s="7" t="inlineStr">
        <is>
          <t>합계금액</t>
        </is>
      </c>
    </row>
    <row r="5">
      <c r="A5" s="10" t="inlineStr">
        <is>
          <t>공제</t>
        </is>
      </c>
      <c r="B5" s="8">
        <f>COUNTIFS(경비내역!$M$5:$M$12,A5)</f>
        <v/>
      </c>
      <c r="C5" s="17">
        <f>SUMIFS(경비내역!$H$5:$H$12,경비내역!$M$5:$M$12,A5)</f>
        <v/>
      </c>
      <c r="D5" s="17">
        <f>SUMIFS(경비내역!$I$5:$I$12,경비내역!$M$5:$M$12,A5)</f>
        <v/>
      </c>
      <c r="E5" s="17">
        <f>SUMIFS(경비내역!$J$5:$J$12,경비내역!$M$5:$M$12,A5)</f>
        <v/>
      </c>
    </row>
    <row r="6">
      <c r="A6" s="10" t="inlineStr">
        <is>
          <t>불공제</t>
        </is>
      </c>
      <c r="B6" s="8">
        <f>COUNTIFS(경비내역!$M$5:$M$12,A6)</f>
        <v/>
      </c>
      <c r="C6" s="17">
        <f>SUMIFS(경비내역!$H$5:$H$12,경비내역!$M$5:$M$12,A6)</f>
        <v/>
      </c>
      <c r="D6" s="17">
        <f>SUMIFS(경비내역!$I$5:$I$12,경비내역!$M$5:$M$12,A6)</f>
        <v/>
      </c>
      <c r="E6" s="17">
        <f>SUMIFS(경비내역!$J$5:$J$12,경비내역!$M$5:$M$12,A6)</f>
        <v/>
      </c>
    </row>
    <row r="7">
      <c r="A7" s="14" t="inlineStr">
        <is>
          <t>합계</t>
        </is>
      </c>
      <c r="B7" s="14">
        <f>SUM(B5:B6)</f>
        <v/>
      </c>
      <c r="C7" s="16">
        <f>SUM(C5:C6)</f>
        <v/>
      </c>
      <c r="D7" s="16">
        <f>SUM(D5:D6)</f>
        <v/>
      </c>
      <c r="E7" s="16">
        <f>SUM(E5:E6)</f>
        <v/>
      </c>
    </row>
    <row r="9">
      <c r="A9" s="2" t="inlineStr">
        <is>
          <t>※ 공제 부가세액 = 부가가치세 신고 시 매입세액공제 대상. 불공제분(접대비·비영업용차량·면세 등)은 제외.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2026-07-13T14:29:46Z</dcterms:created>
  <dcterms:modified xsi:type="dcterms:W3CDTF">2026-07-13T14:29:46Z</dcterms:modified>
</cp:coreProperties>
</file>